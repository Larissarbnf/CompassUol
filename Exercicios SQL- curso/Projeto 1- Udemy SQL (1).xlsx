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charts/chartEx1.xml" ContentType="application/vnd.ms-office.chartex+xml"/>
  <Override PartName="/xl/charts/colors30.xml" ContentType="application/vnd.ms-office.chartcolorstyle+xml"/>
  <Override PartName="/xl/charts/style3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5"/>
  <workbookPr/>
  <mc:AlternateContent xmlns:mc="http://schemas.openxmlformats.org/markup-compatibility/2006">
    <mc:Choice Requires="x15">
      <x15ac:absPath xmlns:x15ac="http://schemas.microsoft.com/office/spreadsheetml/2010/11/ac" url="G:\My Drive\05-SQL\06-Projeto 1 - Dashboard de vendas\"/>
    </mc:Choice>
  </mc:AlternateContent>
  <xr:revisionPtr revIDLastSave="0" documentId="8_{C363F3EF-FAE8-4999-A20D-CB62C600394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<sst xmlns="http://schemas.openxmlformats.org/spreadsheetml/2006/main" count="60" uniqueCount="53">
  <si>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</si>
  <si>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</si>
  <si>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</si>
  <si>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</si>
  <si>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</si>
  <si>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mês</t>
  </si>
  <si>
    <t>leads (#)</t>
  </si>
  <si>
    <t>vendas (#)</t>
  </si>
  <si>
    <t>receita (k, R$)</t>
  </si>
  <si>
    <t>conversão (%)</t>
  </si>
  <si>
    <t>ticket médio (k, R$)</t>
  </si>
  <si>
    <t>país</t>
  </si>
  <si>
    <t>estado</t>
  </si>
  <si>
    <t>marca</t>
  </si>
  <si>
    <t>loja</t>
  </si>
  <si>
    <t>dia_semana</t>
  </si>
  <si>
    <t>dia da semana</t>
  </si>
  <si>
    <t>visitas (#)</t>
  </si>
  <si>
    <t>0.19230769230769232</t>
  </si>
  <si>
    <t>Brazil</t>
  </si>
  <si>
    <t>SP</t>
  </si>
  <si>
    <t>FIAT</t>
  </si>
  <si>
    <t>KIYOKO CILEIDI JERY LTDA</t>
  </si>
  <si>
    <t>domingo</t>
  </si>
  <si>
    <t>0.03759398496240601</t>
  </si>
  <si>
    <t>MG</t>
  </si>
  <si>
    <t>CHEVROLET</t>
  </si>
  <si>
    <t>CLAUDINEO JOZENAIDE LUYANE LTDA</t>
  </si>
  <si>
    <t>segunda</t>
  </si>
  <si>
    <t>0.03645401822700911</t>
  </si>
  <si>
    <t>SC</t>
  </si>
  <si>
    <t>VOLKSWAGEN</t>
  </si>
  <si>
    <t>ADO JUBERTH VALTUIDES LTDA</t>
  </si>
  <si>
    <t>terça</t>
  </si>
  <si>
    <t>0.03273809523809524</t>
  </si>
  <si>
    <t>RS</t>
  </si>
  <si>
    <t>FORD</t>
  </si>
  <si>
    <t>GERRIVALDO ROSIELEN VALTEIDE LTDA</t>
  </si>
  <si>
    <t>quarta</t>
  </si>
  <si>
    <t>0.030245746691871456</t>
  </si>
  <si>
    <t>RJ</t>
  </si>
  <si>
    <t>RENAULT</t>
  </si>
  <si>
    <t>NILFA CID SILVANDRO LTDA</t>
  </si>
  <si>
    <t>quinta</t>
  </si>
  <si>
    <t>0.052307692307692305</t>
  </si>
  <si>
    <t>sexta</t>
  </si>
  <si>
    <t>0.06159420289855073</t>
  </si>
  <si>
    <t>sábado</t>
  </si>
  <si>
    <t>0.05976430976430976</t>
  </si>
  <si>
    <t>0.10316836868290129</t>
  </si>
  <si>
    <t>0.13265765765765766</t>
  </si>
  <si>
    <t>0.17504078303425774</t>
  </si>
  <si>
    <t>0.19738706123091454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</si>
</sst>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2.5929E+18</c:v>
                </c:pt>
                <c:pt idx="1">
                  <c:v>1.67645685E+19</c:v>
                </c:pt>
                <c:pt idx="2">
                  <c:v>2.2785075E+19</c:v>
                </c:pt>
                <c:pt idx="3">
                  <c:v>2.6027686899999998E+19</c:v>
                </c:pt>
                <c:pt idx="4">
                  <c:v>2.2972240499999998E+19</c:v>
                </c:pt>
                <c:pt idx="5">
                  <c:v>3.6310959E+19</c:v>
                </c:pt>
                <c:pt idx="6">
                  <c:v>7.91119248E+19</c:v>
                </c:pt>
                <c:pt idx="7">
                  <c:v>7.47755592E+19</c:v>
                </c:pt>
                <c:pt idx="8">
                  <c:v>2.150847648E+16</c:v>
                </c:pt>
                <c:pt idx="9">
                  <c:v>3.317924664E+16</c:v>
                </c:pt>
                <c:pt idx="10">
                  <c:v>5.898778649E+16</c:v>
                </c:pt>
                <c:pt idx="11">
                  <c:v>6.827409023E+16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5.1858E+17</c:v>
                </c:pt>
                <c:pt idx="1">
                  <c:v>4.7898767142857101E+17</c:v>
                </c:pt>
                <c:pt idx="2">
                  <c:v>5.1784261363636301E+17</c:v>
                </c:pt>
                <c:pt idx="3">
                  <c:v>7.8871778484848397E+17</c:v>
                </c:pt>
                <c:pt idx="4">
                  <c:v>7.1788251562499994E+17</c:v>
                </c:pt>
                <c:pt idx="5">
                  <c:v>5.3398469117647002E+17</c:v>
                </c:pt>
                <c:pt idx="6">
                  <c:v>6.6480609075630195E+17</c:v>
                </c:pt>
                <c:pt idx="7">
                  <c:v>5.2658844507042202E+17</c:v>
                </c:pt>
                <c:pt idx="8">
                  <c:v>5.4590041827411098E+17</c:v>
                </c:pt>
                <c:pt idx="9">
                  <c:v>5.6331488353140902E+17</c:v>
                </c:pt>
                <c:pt idx="10">
                  <c:v>5.4974637921714803E+17</c:v>
                </c:pt>
                <c:pt idx="11">
                  <c:v>5.4445048030303002E+17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5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=""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2" name="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  <a:ext uri="{147F2762-F138-4A5C-976F-8EAC2B608ADB}">
                  <a16:predDERef xmlns:a16="http://schemas.microsoft.com/office/drawing/2014/main" pred="{00000000-0008-0000-0000-000008000000}"/>
                </a:ext>
              </a:extLst>
            </xdr:cNvPr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104775</xdr:rowOff>
    </xdr:from>
    <xdr:to>
      <xdr:col>10</xdr:col>
      <xdr:colOff>342900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47700" y="295275"/>
          <a:ext cx="5791200" cy="681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(Query 1) Receita, leads, conversão e ticket médio mês a mês</a:t>
          </a:r>
        </a:p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Colunas: mês, leads (#), vendas (#), receita (k, R$), conversão (%), ticket médio (k, R$)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with 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leads as (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date_trunc('month', visit_page_date)::date as visit_page_month,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count(*) as visit_page_count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from sales.funnel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group by visit_page_month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order by visit_page_month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),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payments as (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date_trunc('month', fun.paid_date)::date as paid_month,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count(fun.paid_date) as paid_count,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sum(pro.price * (1+fun.discount)) as receita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from sales.funnel as fun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left join sales.products as pro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	on fun.product_id = pro.product_id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where fun.paid_date is not null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group by paid_month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	order by paid_month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)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leads.visit_page_month as "mês",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leads.visit_page_count as "leads (#)",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payments.paid_count as "vendas (#)",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(payments.receita/1000) as "receita (k, R$)",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(payments.paid_count::float/leads.visit_page_count::float) as "conversão (%)",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(payments.receita/payments.paid_count/1000) as "ticket médio (k, R$)"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from leads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left join payments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(Query 2) Estados que mais venderam</a:t>
          </a:r>
        </a:p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Colunas: país, estado, vendas (#)</a:t>
          </a:r>
          <a:endParaRPr lang="en-US" sz="1100" b="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select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'Brazil' as país,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cus.state as estado,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count(fun.paid_date) as "vendas (#)"</a:t>
          </a:r>
        </a:p>
        <a:p>
          <a:pPr marL="0" indent="0"/>
          <a:endParaRPr lang="en-US" sz="1100" b="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from sales.funnel as fun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left join sales.customers as cus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on fun.customer_id = cus.customer_id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where paid_date between '2021-08-01' and '2021-08-31'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group by país, estado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order by "vendas (#)" desc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limit 5</a:t>
          </a:r>
        </a:p>
      </xdr:txBody>
    </xdr:sp>
    <xdr:clientData/>
  </xdr:twoCellAnchor>
  <xdr:twoCellAnchor>
    <xdr:from>
      <xdr:col>17</xdr:col>
      <xdr:colOff>476250</xdr:colOff>
      <xdr:row>1</xdr:row>
      <xdr:rowOff>123825</xdr:rowOff>
    </xdr:from>
    <xdr:to>
      <xdr:col>24</xdr:col>
      <xdr:colOff>0</xdr:colOff>
      <xdr:row>29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SpPr txBox="1"/>
      </xdr:nvSpPr>
      <xdr:spPr>
        <a:xfrm>
          <a:off x="10839450" y="314325"/>
          <a:ext cx="3790950" cy="532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(Query 3) Marcas que mais venderam no mês</a:t>
          </a:r>
        </a:p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Colunas: marca, vendas (#)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pro.brand as marca,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count(fun.paid_date) as "vendas (#)"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from sales.funnel as fun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left join sales.products as pro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on fun.product_id = pro.product_id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where paid_date between '2021-08-01' and '2021-08-31'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group by marca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order by "vendas (#)" desc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limit 5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-- (Query 4) Lojas que mais venderam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-- Colunas: loja, vendas (#)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sto.store_name as loja,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count(fun.paid_date) as "vendas (#)"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from sales.funnel as fun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left join sales.stores as sto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on fun.store_id = sto.store_id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where paid_date between '2021-08-01' and '2021-08-31'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group by loja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order by "vendas (#)" desc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95250</xdr:rowOff>
    </xdr:from>
    <xdr:to>
      <xdr:col>30</xdr:col>
      <xdr:colOff>503465</xdr:colOff>
      <xdr:row>19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SpPr txBox="1"/>
      </xdr:nvSpPr>
      <xdr:spPr>
        <a:xfrm>
          <a:off x="14905265" y="285750"/>
          <a:ext cx="38862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(Query 4) Lojas que mais venderam</a:t>
          </a:r>
        </a:p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Colunas: loja, vendas (#)</a:t>
          </a:r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select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sto.store_name as loja,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count(fun.paid_date) as "vendas (#)"</a:t>
          </a:r>
        </a:p>
        <a:p>
          <a:pPr marL="0" indent="0"/>
          <a:endParaRPr lang="en-US" sz="1100" b="0" i="0" u="none" strike="noStrike">
            <a:solidFill>
              <a:schemeClr val="dk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from sales.funnel as fun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left join sales.stores as sto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	on fun.store_id = sto.store_id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where paid_date between '2021-08-01' and '2021-08-31'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group by loja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order by "vendas (#)" desc</a:t>
          </a:r>
        </a:p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cs typeface="Calibri" panose="020F0502020204030204" pitchFamily="34" charset="0"/>
            </a:rPr>
            <a:t>limit 5</a:t>
          </a:r>
        </a:p>
      </xdr:txBody>
    </xdr:sp>
    <xdr:clientData/>
  </xdr:twoCellAnchor>
  <xdr:twoCellAnchor>
    <xdr:from>
      <xdr:col>31</xdr:col>
      <xdr:colOff>47625</xdr:colOff>
      <xdr:row>1</xdr:row>
      <xdr:rowOff>133350</xdr:rowOff>
    </xdr:from>
    <xdr:to>
      <xdr:col>37</xdr:col>
      <xdr:colOff>295275</xdr:colOff>
      <xdr:row>26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SpPr txBox="1"/>
      </xdr:nvSpPr>
      <xdr:spPr>
        <a:xfrm>
          <a:off x="18945225" y="323850"/>
          <a:ext cx="3905250" cy="477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(Query 5) Dias da semana com maior número de visitas ao site</a:t>
          </a:r>
        </a:p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-- Colunas: dia_semana, dia da semana, visitas (#)</a:t>
          </a:r>
          <a:endParaRPr lang="en-US" sz="1100" b="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endParaRPr lang="en-US" sz="1100" b="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select 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extract ('dow' from visit_page_date) as dia_semana,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case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visit_page_date)=0 then 'domingo'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visit_page_date)=1 then 'segunda'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visit_page_date)=2 then 'terça'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visit_page_date)=3 then 'quarta'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visit_page_date)=4 then 'quinta'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visit_page_date)=5 then 'sexta'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when extract ('dow' from visit_page_date)=6 then 'sábado'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	else null end as "dia da semana",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	count (*) as "visitas (#)"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from sales.funnel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where visit_page_date between '2021-08-01' and '2021-08-31'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group by dia_semana</a:t>
          </a:r>
        </a:p>
        <a:p>
          <a:pPr marL="0" indent="0"/>
          <a:r>
            <a:rPr lang="en-US" sz="1100" b="0">
              <a:solidFill>
                <a:schemeClr val="dk1"/>
              </a:solidFill>
              <a:latin typeface="+mn-lt"/>
              <a:ea typeface="+mn-lt"/>
              <a:cs typeface="+mn-lt"/>
            </a:rPr>
            <a:t>order by dia_semana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zoomScale="70" zoomScaleNormal="70" workbookViewId="0">
      <selection activeCell="O10" sqref="O10"/>
    </sheetView>
  </sheetViews>
  <sheetFormatPr defaultRowHeight="1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abSelected="1" zoomScale="85" zoomScaleNormal="85" workbookViewId="0">
      <selection activeCell="F4" sqref="F4"/>
    </sheetView>
  </sheetViews>
  <sheetFormatPr defaultRowHeight="1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>
      <c r="B2" s="12" t="s">
        <v>0</v>
      </c>
      <c r="I2" s="12" t="s">
        <v>1</v>
      </c>
      <c r="M2" s="12" t="s">
        <v>2</v>
      </c>
      <c r="P2" s="12" t="s">
        <v>3</v>
      </c>
      <c r="S2" s="12" t="s">
        <v>4</v>
      </c>
    </row>
    <row r="3" spans="2:21">
      <c r="B3" s="8" t="s">
        <v>5</v>
      </c>
      <c r="C3" s="1" t="s">
        <v>6</v>
      </c>
      <c r="D3" s="1" t="s">
        <v>7</v>
      </c>
      <c r="E3" s="6" t="s">
        <v>8</v>
      </c>
      <c r="F3" s="2" t="s">
        <v>9</v>
      </c>
      <c r="G3" s="4" t="s">
        <v>10</v>
      </c>
      <c r="I3" s="1" t="s">
        <v>11</v>
      </c>
      <c r="J3" s="1" t="s">
        <v>12</v>
      </c>
      <c r="K3" s="1" t="s">
        <v>7</v>
      </c>
      <c r="M3" s="1" t="s">
        <v>13</v>
      </c>
      <c r="N3" s="1" t="s">
        <v>7</v>
      </c>
      <c r="P3" s="1" t="s">
        <v>14</v>
      </c>
      <c r="Q3" s="1" t="s">
        <v>7</v>
      </c>
      <c r="S3" s="1" t="s">
        <v>15</v>
      </c>
      <c r="T3" s="1" t="s">
        <v>16</v>
      </c>
      <c r="U3" s="1" t="s">
        <v>17</v>
      </c>
    </row>
    <row r="4" spans="2:21">
      <c r="B4" s="8">
        <v>44075</v>
      </c>
      <c r="C4" s="6">
        <v>26</v>
      </c>
      <c r="D4" s="6">
        <v>5</v>
      </c>
      <c r="E4" s="6">
        <v>2.5929E+18</v>
      </c>
      <c r="F4" s="2" t="s">
        <v>18</v>
      </c>
      <c r="G4" s="4">
        <v>5.1858E+17</v>
      </c>
      <c r="I4" s="1" t="s">
        <v>19</v>
      </c>
      <c r="J4" s="1" t="s">
        <v>20</v>
      </c>
      <c r="K4" s="1">
        <v>734</v>
      </c>
      <c r="M4" s="1" t="s">
        <v>21</v>
      </c>
      <c r="N4" s="1">
        <v>248</v>
      </c>
      <c r="P4" s="1" t="s">
        <v>22</v>
      </c>
      <c r="Q4" s="1">
        <v>18</v>
      </c>
      <c r="S4" s="1">
        <v>0</v>
      </c>
      <c r="T4" s="1" t="s">
        <v>23</v>
      </c>
      <c r="U4" s="1">
        <v>67</v>
      </c>
    </row>
    <row r="5" spans="2:21">
      <c r="B5" s="8">
        <v>44105</v>
      </c>
      <c r="C5" s="6">
        <v>931</v>
      </c>
      <c r="D5" s="6">
        <v>35</v>
      </c>
      <c r="E5" s="6">
        <v>1.67645685E+19</v>
      </c>
      <c r="F5" s="2" t="s">
        <v>24</v>
      </c>
      <c r="G5" s="4">
        <v>4.7898767142857101E+17</v>
      </c>
      <c r="I5" s="1" t="s">
        <v>19</v>
      </c>
      <c r="J5" s="1" t="s">
        <v>25</v>
      </c>
      <c r="K5" s="1">
        <v>142</v>
      </c>
      <c r="M5" s="1" t="s">
        <v>26</v>
      </c>
      <c r="N5" s="1">
        <v>237</v>
      </c>
      <c r="P5" s="1" t="s">
        <v>27</v>
      </c>
      <c r="Q5" s="1">
        <v>15</v>
      </c>
      <c r="S5" s="1">
        <v>1</v>
      </c>
      <c r="T5" s="1" t="s">
        <v>28</v>
      </c>
      <c r="U5" s="1">
        <v>1301</v>
      </c>
    </row>
    <row r="6" spans="2:21">
      <c r="B6" s="8">
        <v>44136</v>
      </c>
      <c r="C6" s="6">
        <v>1207</v>
      </c>
      <c r="D6" s="6">
        <v>44</v>
      </c>
      <c r="E6" s="6">
        <v>2.2785075E+19</v>
      </c>
      <c r="F6" s="2" t="s">
        <v>29</v>
      </c>
      <c r="G6" s="4">
        <v>5.1784261363636301E+17</v>
      </c>
      <c r="I6" s="1" t="s">
        <v>19</v>
      </c>
      <c r="J6" s="1" t="s">
        <v>30</v>
      </c>
      <c r="K6" s="1">
        <v>110</v>
      </c>
      <c r="M6" s="1" t="s">
        <v>31</v>
      </c>
      <c r="N6" s="1">
        <v>193</v>
      </c>
      <c r="P6" s="1" t="s">
        <v>32</v>
      </c>
      <c r="Q6" s="1">
        <v>10</v>
      </c>
      <c r="S6" s="1">
        <v>2</v>
      </c>
      <c r="T6" s="1" t="s">
        <v>33</v>
      </c>
      <c r="U6" s="1">
        <v>1238</v>
      </c>
    </row>
    <row r="7" spans="2:21">
      <c r="B7" s="8">
        <v>44166</v>
      </c>
      <c r="C7" s="6">
        <v>1008</v>
      </c>
      <c r="D7" s="6">
        <v>33</v>
      </c>
      <c r="E7" s="6">
        <v>2.6027686899999998E+19</v>
      </c>
      <c r="F7" s="2" t="s">
        <v>34</v>
      </c>
      <c r="G7" s="4">
        <v>7.8871778484848397E+17</v>
      </c>
      <c r="I7" s="1" t="s">
        <v>19</v>
      </c>
      <c r="J7" s="1" t="s">
        <v>35</v>
      </c>
      <c r="K7" s="1">
        <v>98</v>
      </c>
      <c r="M7" s="1" t="s">
        <v>36</v>
      </c>
      <c r="N7" s="1">
        <v>136</v>
      </c>
      <c r="P7" s="1" t="s">
        <v>37</v>
      </c>
      <c r="Q7" s="1">
        <v>10</v>
      </c>
      <c r="S7" s="1">
        <v>3</v>
      </c>
      <c r="T7" s="1" t="s">
        <v>38</v>
      </c>
      <c r="U7" s="1">
        <v>1038</v>
      </c>
    </row>
    <row r="8" spans="2:21">
      <c r="B8" s="8">
        <v>44197</v>
      </c>
      <c r="C8" s="6">
        <v>1058</v>
      </c>
      <c r="D8" s="6">
        <v>32</v>
      </c>
      <c r="E8" s="6">
        <v>2.2972240499999998E+19</v>
      </c>
      <c r="F8" s="2" t="s">
        <v>39</v>
      </c>
      <c r="G8" s="4">
        <v>7.1788251562499994E+17</v>
      </c>
      <c r="I8" s="1" t="s">
        <v>19</v>
      </c>
      <c r="J8" s="1" t="s">
        <v>40</v>
      </c>
      <c r="K8" s="1">
        <v>66</v>
      </c>
      <c r="M8" s="1" t="s">
        <v>41</v>
      </c>
      <c r="N8" s="1">
        <v>108</v>
      </c>
      <c r="P8" s="1" t="s">
        <v>42</v>
      </c>
      <c r="Q8" s="1">
        <v>10</v>
      </c>
      <c r="S8" s="1">
        <v>4</v>
      </c>
      <c r="T8" s="1" t="s">
        <v>43</v>
      </c>
      <c r="U8" s="1">
        <v>1076</v>
      </c>
    </row>
    <row r="9" spans="2:21">
      <c r="B9" s="8">
        <v>44228</v>
      </c>
      <c r="C9" s="6">
        <v>1300</v>
      </c>
      <c r="D9" s="6">
        <v>68</v>
      </c>
      <c r="E9" s="6">
        <v>3.6310959E+19</v>
      </c>
      <c r="F9" s="2" t="s">
        <v>44</v>
      </c>
      <c r="G9" s="4">
        <v>5.3398469117647002E+17</v>
      </c>
      <c r="S9" s="1">
        <v>5</v>
      </c>
      <c r="T9" s="1" t="s">
        <v>45</v>
      </c>
      <c r="U9" s="1">
        <v>956</v>
      </c>
    </row>
    <row r="10" spans="2:21">
      <c r="B10" s="8">
        <v>44256</v>
      </c>
      <c r="C10" s="6">
        <v>1932</v>
      </c>
      <c r="D10" s="6">
        <v>119</v>
      </c>
      <c r="E10" s="6">
        <v>7.91119248E+19</v>
      </c>
      <c r="F10" s="2" t="s">
        <v>46</v>
      </c>
      <c r="G10" s="4">
        <v>6.6480609075630195E+17</v>
      </c>
      <c r="S10" s="1">
        <v>6</v>
      </c>
      <c r="T10" s="1" t="s">
        <v>47</v>
      </c>
      <c r="U10" s="1">
        <v>677</v>
      </c>
    </row>
    <row r="11" spans="2:21">
      <c r="B11" s="8">
        <v>44287</v>
      </c>
      <c r="C11" s="6">
        <v>2376</v>
      </c>
      <c r="D11" s="6">
        <v>142</v>
      </c>
      <c r="E11" s="6">
        <v>7.47755592E+19</v>
      </c>
      <c r="F11" s="2" t="s">
        <v>48</v>
      </c>
      <c r="G11" s="4">
        <v>5.2658844507042202E+17</v>
      </c>
    </row>
    <row r="12" spans="2:21">
      <c r="B12" s="8">
        <v>44317</v>
      </c>
      <c r="C12" s="6">
        <v>3819</v>
      </c>
      <c r="D12" s="6">
        <v>394</v>
      </c>
      <c r="E12" s="6">
        <v>2.150847648E+16</v>
      </c>
      <c r="F12" s="2" t="s">
        <v>49</v>
      </c>
      <c r="G12" s="4">
        <v>5.4590041827411098E+17</v>
      </c>
    </row>
    <row r="13" spans="2:21">
      <c r="B13" s="8">
        <v>44348</v>
      </c>
      <c r="C13" s="6">
        <v>4440</v>
      </c>
      <c r="D13" s="6">
        <v>589</v>
      </c>
      <c r="E13" s="6">
        <v>3.317924664E+16</v>
      </c>
      <c r="F13" s="2" t="s">
        <v>50</v>
      </c>
      <c r="G13" s="4">
        <v>5.6331488353140902E+17</v>
      </c>
    </row>
    <row r="14" spans="2:21">
      <c r="B14" s="8">
        <v>44378</v>
      </c>
      <c r="C14" s="6">
        <v>6130</v>
      </c>
      <c r="D14" s="6">
        <v>1073</v>
      </c>
      <c r="E14" s="6">
        <v>5.898778649E+16</v>
      </c>
      <c r="F14" s="2" t="s">
        <v>51</v>
      </c>
      <c r="G14" s="4">
        <v>5.4974637921714803E+17</v>
      </c>
    </row>
    <row r="15" spans="2:21">
      <c r="B15" s="8">
        <v>44409</v>
      </c>
      <c r="C15" s="6">
        <v>6353</v>
      </c>
      <c r="D15" s="6">
        <v>1254</v>
      </c>
      <c r="E15" s="6">
        <v>6.827409023E+16</v>
      </c>
      <c r="F15" s="2" t="s">
        <v>52</v>
      </c>
      <c r="G15" s="4">
        <v>5.4445048030303002E+17</v>
      </c>
    </row>
    <row r="29" spans="3:14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P1" zoomScale="70" zoomScaleNormal="70" workbookViewId="0">
      <selection activeCell="Z30" sqref="Z3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Midori Toyota</dc:creator>
  <cp:keywords/>
  <dc:description/>
  <cp:lastModifiedBy/>
  <cp:revision/>
  <dcterms:created xsi:type="dcterms:W3CDTF">2015-06-05T18:17:20Z</dcterms:created>
  <dcterms:modified xsi:type="dcterms:W3CDTF">2023-08-22T18:41:17Z</dcterms:modified>
  <cp:category/>
  <cp:contentStatus/>
</cp:coreProperties>
</file>